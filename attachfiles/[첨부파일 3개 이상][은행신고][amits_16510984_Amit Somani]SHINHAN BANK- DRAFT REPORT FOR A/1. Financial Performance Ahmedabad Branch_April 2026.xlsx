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8YFmDTZZ4oA8btXnTD8m0wom8qpEoMPAoFv59zqBaQ="/>
    </ext>
  </extLst>
</workbook>
</file>

<file path=xl/sharedStrings.xml><?xml version="1.0" encoding="utf-8"?>
<sst xmlns="http://schemas.openxmlformats.org/spreadsheetml/2006/main" count="22" uniqueCount="21">
  <si>
    <t>Note - (*) The above figures are as at the end of each month</t>
  </si>
  <si>
    <t>Financial Performance of Branch</t>
  </si>
  <si>
    <t>Particulars</t>
  </si>
  <si>
    <t>Current Month
( 25th April 2026)</t>
  </si>
  <si>
    <t>Previous Month
(31st March 2026)</t>
  </si>
  <si>
    <t>Change (+) / (-)  (CM-PM)</t>
  </si>
  <si>
    <t>% of Change compare to PM</t>
  </si>
  <si>
    <t>Rs in million (*)</t>
  </si>
  <si>
    <t>Rs in million</t>
  </si>
  <si>
    <t>Deposits at Branch (CASA)</t>
  </si>
  <si>
    <t>Deposits at Branch (Other than CASA)</t>
  </si>
  <si>
    <t>Aggregate Advance (Outstanding Fund Based)</t>
  </si>
  <si>
    <t>Aggregate Advance (Outstanding Non-Fund Based)</t>
  </si>
  <si>
    <t>Priority Sector Advance (Outstanding basis)</t>
  </si>
  <si>
    <t>Non-Performing Advance (Outstanding basis)</t>
  </si>
  <si>
    <t xml:space="preserve">Provision on NPA (as on date) </t>
  </si>
  <si>
    <t>New NPA during the month</t>
  </si>
  <si>
    <t xml:space="preserve">Provision on new NPA  during the month </t>
  </si>
  <si>
    <t>Total Income (Interest &amp; Non-Interest upto the month)</t>
  </si>
  <si>
    <t>Total Expenses (All upto the month)</t>
  </si>
  <si>
    <t>Note* - NPA provision is done at HO level so data for provision on new NPA is not available with Department at Branch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</si>
</sst>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* #,##0.00_ ;_ * \-#,##0.00_ ;_ * &quot;-&quot;??_ ;_ @_ "/>
  </numFmts>
  <fonts count="13">
    <font>
      <sz val="11.0"/>
      <color theme="1"/>
      <name val="Calibri"/>
      <scheme val="minor"/>
    </font>
    <font>
      <sz val="11.0"/>
      <color theme="1"/>
      <name val="Calibri"/>
    </font>
    <font>
      <sz val="10.0"/>
      <color theme="1"/>
      <name val="Malgun Gothic"/>
    </font>
    <font>
      <b/>
      <u/>
      <sz val="10.0"/>
      <color theme="1"/>
      <name val="Arial"/>
    </font>
    <font/>
    <font>
      <b/>
      <sz val="10.0"/>
      <color theme="0"/>
      <name val="Arial"/>
    </font>
    <font>
      <b/>
      <sz val="10.0"/>
      <color rgb="FFFFFFFF"/>
      <name val="Arial"/>
    </font>
    <font>
      <sz val="10.0"/>
      <color theme="1"/>
      <name val="Arial"/>
    </font>
    <font>
      <sz val="11.0"/>
      <color rgb="FF000000"/>
      <name val="Arial"/>
    </font>
    <font>
      <b/>
      <sz val="11.0"/>
      <color theme="1"/>
      <name val="Calibri"/>
    </font>
    <font>
      <b/>
      <sz val="11.0"/>
      <color rgb="FFFF0000"/>
      <name val="Arial"/>
    </font>
    <font>
      <b/>
      <sz val="10.0"/>
      <color theme="1"/>
      <name val="Arial"/>
    </font>
    <font>
      <b/>
      <u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0" fillId="0" fontId="2" numFmtId="0" xfId="0" applyAlignment="1" applyFont="1">
      <alignment shrinkToFit="0" vertical="center" wrapText="1"/>
    </xf>
    <xf borderId="4" fillId="0" fontId="3" numFmtId="0" xfId="0" applyAlignment="1" applyBorder="1" applyFont="1">
      <alignment horizontal="center" vertical="center"/>
    </xf>
    <xf borderId="5" fillId="0" fontId="4" numFmtId="0" xfId="0" applyBorder="1" applyFont="1"/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9" fillId="2" fontId="5" numFmtId="0" xfId="0" applyAlignment="1" applyBorder="1" applyFill="1" applyFont="1">
      <alignment horizontal="center" shrinkToFit="0" vertical="center" wrapText="1"/>
    </xf>
    <xf borderId="10" fillId="2" fontId="6" numFmtId="0" xfId="0" applyAlignment="1" applyBorder="1" applyFont="1">
      <alignment horizontal="center" readingOrder="0" shrinkToFit="0" vertical="center" wrapText="1"/>
    </xf>
    <xf borderId="10" fillId="2" fontId="5" numFmtId="0" xfId="0" applyAlignment="1" applyBorder="1" applyFont="1">
      <alignment horizontal="center" shrinkToFit="0" vertical="center" wrapText="1"/>
    </xf>
    <xf borderId="11" fillId="0" fontId="4" numFmtId="0" xfId="0" applyBorder="1" applyFont="1"/>
    <xf borderId="10" fillId="2" fontId="6" numFmtId="0" xfId="0" applyAlignment="1" applyBorder="1" applyFont="1">
      <alignment horizontal="center" shrinkToFit="0" vertical="center" wrapText="1"/>
    </xf>
    <xf borderId="12" fillId="0" fontId="4" numFmtId="0" xfId="0" applyBorder="1" applyFont="1"/>
    <xf borderId="10" fillId="0" fontId="7" numFmtId="0" xfId="0" applyAlignment="1" applyBorder="1" applyFont="1">
      <alignment horizontal="center" shrinkToFit="0" vertical="center" wrapText="1"/>
    </xf>
    <xf borderId="10" fillId="0" fontId="1" numFmtId="4" xfId="0" applyAlignment="1" applyBorder="1" applyFont="1" applyNumberFormat="1">
      <alignment horizontal="center" readingOrder="0" vertical="center"/>
    </xf>
    <xf borderId="10" fillId="0" fontId="1" numFmtId="4" xfId="0" applyAlignment="1" applyBorder="1" applyFont="1" applyNumberFormat="1">
      <alignment horizontal="center" vertical="center"/>
    </xf>
    <xf borderId="10" fillId="0" fontId="1" numFmtId="2" xfId="0" applyAlignment="1" applyBorder="1" applyFont="1" applyNumberFormat="1">
      <alignment horizontal="center" vertical="center"/>
    </xf>
    <xf borderId="10" fillId="0" fontId="1" numFmtId="164" xfId="0" applyAlignment="1" applyBorder="1" applyFont="1" applyNumberFormat="1">
      <alignment horizontal="center" vertical="center"/>
    </xf>
    <xf borderId="0" fillId="0" fontId="8" numFmtId="4" xfId="0" applyAlignment="1" applyFont="1" applyNumberFormat="1">
      <alignment horizontal="right" vertical="center"/>
    </xf>
    <xf borderId="0" fillId="0" fontId="1" numFmtId="0" xfId="0" applyFont="1"/>
    <xf borderId="0" fillId="0" fontId="9" numFmtId="0" xfId="0" applyFont="1"/>
    <xf borderId="0" fillId="0" fontId="10" numFmtId="4" xfId="0" applyAlignment="1" applyFont="1" applyNumberFormat="1">
      <alignment horizontal="right" vertical="center"/>
    </xf>
    <xf borderId="0" fillId="0" fontId="1" numFmtId="4" xfId="0" applyFont="1" applyNumberFormat="1"/>
    <xf borderId="0" fillId="0" fontId="1" numFmtId="164" xfId="0" applyFont="1" applyNumberFormat="1"/>
    <xf borderId="0" fillId="0" fontId="11" numFmtId="0" xfId="0" applyAlignment="1" applyFont="1">
      <alignment horizontal="center" shrinkToFit="0" vertical="center" wrapText="1"/>
    </xf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0.57"/>
    <col customWidth="1" min="2" max="2" width="18.14"/>
    <col customWidth="1" min="3" max="3" width="19.0"/>
    <col customWidth="1" min="4" max="4" width="20.43"/>
    <col customWidth="1" min="5" max="5" width="16.57"/>
    <col customWidth="1" min="6" max="6" width="8.57"/>
    <col customWidth="1" min="7" max="8" width="15.43"/>
    <col customWidth="1" min="9" max="9" width="13.86"/>
    <col customWidth="1" min="10" max="26" width="8.57"/>
  </cols>
  <sheetData>
    <row r="1">
      <c r="A1" s="1"/>
      <c r="B1" s="2"/>
      <c r="C1" s="2"/>
      <c r="D1" s="2"/>
      <c r="E1" s="3"/>
      <c r="F1" s="4" t="s">
        <v>0</v>
      </c>
    </row>
    <row r="2">
      <c r="A2" s="5" t="s">
        <v>1</v>
      </c>
      <c r="E2" s="6"/>
    </row>
    <row r="3">
      <c r="A3" s="7"/>
      <c r="B3" s="8"/>
      <c r="C3" s="8"/>
      <c r="D3" s="8"/>
      <c r="E3" s="9"/>
    </row>
    <row r="4">
      <c r="A4" s="10" t="s">
        <v>2</v>
      </c>
      <c r="B4" s="11" t="s">
        <v>3</v>
      </c>
      <c r="C4" s="11" t="s">
        <v>4</v>
      </c>
      <c r="D4" s="12" t="s">
        <v>5</v>
      </c>
      <c r="E4" s="10" t="s">
        <v>6</v>
      </c>
    </row>
    <row r="5" ht="19.5" customHeight="1">
      <c r="A5" s="13"/>
      <c r="B5" s="14" t="s">
        <v>7</v>
      </c>
      <c r="C5" s="14" t="s">
        <v>7</v>
      </c>
      <c r="D5" s="12" t="s">
        <v>8</v>
      </c>
      <c r="E5" s="15"/>
    </row>
    <row r="6">
      <c r="A6" s="16" t="s">
        <v>9</v>
      </c>
      <c r="B6" s="17">
        <v>45.0</v>
      </c>
      <c r="C6" s="18">
        <v>85.0</v>
      </c>
      <c r="D6" s="19">
        <f t="shared" ref="D6:D16" si="1">B6-C6</f>
        <v>-40</v>
      </c>
      <c r="E6" s="20">
        <f t="shared" ref="E6:E16" si="2">D6/B6*100</f>
        <v>-88.88888889</v>
      </c>
    </row>
    <row r="7">
      <c r="A7" s="16" t="s">
        <v>10</v>
      </c>
      <c r="B7" s="17">
        <v>417.0</v>
      </c>
      <c r="C7" s="18">
        <v>454.0</v>
      </c>
      <c r="D7" s="19">
        <f t="shared" si="1"/>
        <v>-37</v>
      </c>
      <c r="E7" s="20">
        <f t="shared" si="2"/>
        <v>-8.872901679</v>
      </c>
    </row>
    <row r="8">
      <c r="A8" s="16" t="s">
        <v>11</v>
      </c>
      <c r="B8" s="17">
        <v>11552.0</v>
      </c>
      <c r="C8" s="18">
        <v>11668.0</v>
      </c>
      <c r="D8" s="19">
        <f t="shared" si="1"/>
        <v>-116</v>
      </c>
      <c r="E8" s="20">
        <f t="shared" si="2"/>
        <v>-1.004155125</v>
      </c>
    </row>
    <row r="9">
      <c r="A9" s="16" t="s">
        <v>12</v>
      </c>
      <c r="B9" s="17">
        <v>18.81</v>
      </c>
      <c r="C9" s="18">
        <v>18.81</v>
      </c>
      <c r="D9" s="19">
        <f t="shared" si="1"/>
        <v>0</v>
      </c>
      <c r="E9" s="20">
        <f t="shared" si="2"/>
        <v>0</v>
      </c>
      <c r="G9" s="21"/>
      <c r="H9" s="21"/>
    </row>
    <row r="10">
      <c r="A10" s="16" t="s">
        <v>13</v>
      </c>
      <c r="B10" s="17">
        <v>3550.0</v>
      </c>
      <c r="C10" s="18">
        <v>3745.0</v>
      </c>
      <c r="D10" s="19">
        <f t="shared" si="1"/>
        <v>-195</v>
      </c>
      <c r="E10" s="20">
        <f t="shared" si="2"/>
        <v>-5.492957746</v>
      </c>
      <c r="G10" s="22"/>
      <c r="H10" s="22"/>
    </row>
    <row r="11">
      <c r="A11" s="16" t="s">
        <v>14</v>
      </c>
      <c r="B11" s="18">
        <v>0.0</v>
      </c>
      <c r="C11" s="18">
        <v>0.0</v>
      </c>
      <c r="D11" s="19">
        <f t="shared" si="1"/>
        <v>0</v>
      </c>
      <c r="E11" s="20" t="str">
        <f t="shared" si="2"/>
        <v>#DIV/0!</v>
      </c>
      <c r="G11" s="21"/>
      <c r="H11" s="22"/>
    </row>
    <row r="12">
      <c r="A12" s="16" t="s">
        <v>15</v>
      </c>
      <c r="B12" s="17">
        <v>1.72</v>
      </c>
      <c r="C12" s="18">
        <v>1.79</v>
      </c>
      <c r="D12" s="19">
        <f t="shared" si="1"/>
        <v>-0.07</v>
      </c>
      <c r="E12" s="20">
        <f t="shared" si="2"/>
        <v>-4.069767442</v>
      </c>
      <c r="G12" s="21"/>
      <c r="H12" s="23"/>
    </row>
    <row r="13">
      <c r="A13" s="16" t="s">
        <v>16</v>
      </c>
      <c r="B13" s="18">
        <v>0.0</v>
      </c>
      <c r="C13" s="18">
        <v>0.0</v>
      </c>
      <c r="D13" s="19">
        <f t="shared" si="1"/>
        <v>0</v>
      </c>
      <c r="E13" s="20" t="str">
        <f t="shared" si="2"/>
        <v>#DIV/0!</v>
      </c>
    </row>
    <row r="14">
      <c r="A14" s="16" t="s">
        <v>17</v>
      </c>
      <c r="B14" s="18">
        <v>0.0</v>
      </c>
      <c r="C14" s="18">
        <v>0.0</v>
      </c>
      <c r="D14" s="19">
        <f t="shared" si="1"/>
        <v>0</v>
      </c>
      <c r="E14" s="20" t="str">
        <f t="shared" si="2"/>
        <v>#DIV/0!</v>
      </c>
    </row>
    <row r="15">
      <c r="A15" s="16" t="s">
        <v>18</v>
      </c>
      <c r="B15" s="17">
        <v>74.0</v>
      </c>
      <c r="C15" s="18">
        <v>1050.84</v>
      </c>
      <c r="D15" s="19">
        <f t="shared" si="1"/>
        <v>-976.84</v>
      </c>
      <c r="E15" s="20">
        <f t="shared" si="2"/>
        <v>-1320.054054</v>
      </c>
      <c r="G15" s="24"/>
      <c r="H15" s="21"/>
      <c r="I15" s="25"/>
    </row>
    <row r="16">
      <c r="A16" s="16" t="s">
        <v>19</v>
      </c>
      <c r="B16" s="17">
        <v>62.24</v>
      </c>
      <c r="C16" s="18">
        <v>920.79</v>
      </c>
      <c r="D16" s="19">
        <f t="shared" si="1"/>
        <v>-858.55</v>
      </c>
      <c r="E16" s="20">
        <f t="shared" si="2"/>
        <v>-1379.41838</v>
      </c>
      <c r="H16" s="25"/>
    </row>
    <row r="17">
      <c r="B17" s="26"/>
    </row>
    <row r="18">
      <c r="B18" s="26"/>
      <c r="C18" s="26"/>
    </row>
    <row r="19" ht="24.0" customHeight="1">
      <c r="A19" s="27" t="s">
        <v>20</v>
      </c>
    </row>
    <row r="21" ht="15.75" customHeight="1">
      <c r="A21" s="2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E2"/>
    <mergeCell ref="A4:A5"/>
    <mergeCell ref="E4:E5"/>
    <mergeCell ref="A19:E19"/>
  </mergeCells>
  <printOptions/>
  <pageMargins bottom="0.75" footer="0.0" header="0.0" left="0.25" right="0.25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2023-03-29T05:35:31Z</dcterms:created>
  <dc:creator>JVCO-L2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0x0101005FFD5177FBE5BD479FEBCB24CBFB1F2B</vt:lpwstr>
  </property>
</Properties>
</file>